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Data/"/>
    </mc:Choice>
  </mc:AlternateContent>
  <xr:revisionPtr revIDLastSave="0" documentId="13_ncr:1_{67A571E6-71A9-8D42-AEB3-569298F9675B}" xr6:coauthVersionLast="47" xr6:coauthVersionMax="47" xr10:uidLastSave="{00000000-0000-0000-0000-000000000000}"/>
  <bookViews>
    <workbookView xWindow="2120" yWindow="1580" windowWidth="27640" windowHeight="16940" xr2:uid="{6F350832-6EA5-FE43-AF0A-AA87720D692F}"/>
  </bookViews>
  <sheets>
    <sheet name="sy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H3" i="1"/>
  <c r="H4" i="1"/>
  <c r="H5" i="1"/>
  <c r="H6" i="1"/>
  <c r="H7" i="1"/>
  <c r="L7" i="1" s="1"/>
  <c r="H8" i="1"/>
  <c r="L8" i="1" s="1"/>
  <c r="H9" i="1"/>
  <c r="H10" i="1"/>
  <c r="H11" i="1"/>
  <c r="L11" i="1" s="1"/>
  <c r="H12" i="1"/>
  <c r="H13" i="1"/>
  <c r="H14" i="1"/>
  <c r="H15" i="1"/>
  <c r="L15" i="1" s="1"/>
  <c r="H16" i="1"/>
  <c r="L16" i="1" s="1"/>
  <c r="H17" i="1"/>
  <c r="H18" i="1"/>
  <c r="H19" i="1"/>
  <c r="L19" i="1" s="1"/>
  <c r="H2" i="1"/>
  <c r="L18" i="1" l="1"/>
  <c r="L17" i="1"/>
  <c r="L2" i="1"/>
  <c r="L12" i="1"/>
  <c r="L4" i="1"/>
  <c r="L14" i="1"/>
  <c r="L6" i="1"/>
  <c r="L3" i="1"/>
  <c r="L13" i="1"/>
  <c r="L5" i="1"/>
  <c r="L10" i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tc={3701C47C-7832-F04A-BD15-A54B7DCF0EF9}</author>
  </authors>
  <commentList>
    <comment ref="M1" authorId="0" shapeId="0" xr:uid="{3701C47C-7832-F04A-BD15-A54B7DCF0E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correct for veg. cell count because non-heat treated CFU count is really total viable veg cells can be esimated as veg = non heat-treated cfu - heat treated cfu ml </t>
      </text>
    </comment>
  </commentList>
</comments>
</file>

<file path=xl/sharedStrings.xml><?xml version="1.0" encoding="utf-8"?>
<sst xmlns="http://schemas.openxmlformats.org/spreadsheetml/2006/main" count="33" uniqueCount="33">
  <si>
    <t>Sample</t>
  </si>
  <si>
    <t>Time (h)</t>
  </si>
  <si>
    <t>Replicate</t>
  </si>
  <si>
    <t>OD600</t>
  </si>
  <si>
    <t>veg.colonies</t>
  </si>
  <si>
    <t>veg.dilution</t>
  </si>
  <si>
    <t>volume.ml</t>
  </si>
  <si>
    <t>veg.cells.ml</t>
  </si>
  <si>
    <t>spore.colonies</t>
  </si>
  <si>
    <t>spore.dilution</t>
  </si>
  <si>
    <t>spores.ml</t>
  </si>
  <si>
    <t>T0R1</t>
  </si>
  <si>
    <t>T0R2</t>
  </si>
  <si>
    <t>T0R3</t>
  </si>
  <si>
    <t>T5R1</t>
  </si>
  <si>
    <t>T5R2</t>
  </si>
  <si>
    <t>T5R3</t>
  </si>
  <si>
    <t>T10R1</t>
  </si>
  <si>
    <t>T10R2</t>
  </si>
  <si>
    <t>T10R3</t>
  </si>
  <si>
    <t>T16R1</t>
  </si>
  <si>
    <t>T16R2</t>
  </si>
  <si>
    <t>T16R3</t>
  </si>
  <si>
    <t>T20R1</t>
  </si>
  <si>
    <t>T20R2</t>
  </si>
  <si>
    <t>T20R3</t>
  </si>
  <si>
    <t>T25R1</t>
  </si>
  <si>
    <t>T25R2</t>
  </si>
  <si>
    <t>T25R3</t>
  </si>
  <si>
    <t>total_cells</t>
  </si>
  <si>
    <t>veg.cels.ml.corrected</t>
  </si>
  <si>
    <t>veg.cells.ml.vol.corr</t>
  </si>
  <si>
    <t>spores.ml.vol.corr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</si>
</sst>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 O'Brien" id="{72184118-909C-3A43-B2F6-716029C829DD}" userId="S::jmo1056@usnh.edu::95b1195f-a313-4a17-a865-fbf58bce22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9-02T18:47:13.12" personId="{72184118-909C-3A43-B2F6-716029C829DD}" id="{3701C47C-7832-F04A-BD15-A54B7DCF0EF9}">
    <text xml:space="preserve">Need to correct for veg. cell count because non-heat treated CFU count is really total viable veg cells can be esimated as veg = non heat-treated cfu - heat treated cfu ml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1077-6971-A548-B8A3-C81628DB73F7}">
  <dimension ref="A1:O19"/>
  <sheetViews>
    <sheetView tabSelected="1" topLeftCell="B1" workbookViewId="0">
      <selection activeCell="M25" sqref="M25"/>
    </sheetView>
  </sheetViews>
  <sheetFormatPr baseColWidth="10" defaultRowHeight="16" x14ac:dyDescent="0.2"/>
  <cols>
    <col min="14" max="14" width="21.83203125" customWidth="1"/>
    <col min="15" max="15" width="25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 t="s">
        <v>11</v>
      </c>
      <c r="B2">
        <v>0</v>
      </c>
      <c r="C2">
        <v>1</v>
      </c>
      <c r="D2">
        <v>0.78</v>
      </c>
      <c r="E2">
        <v>903</v>
      </c>
      <c r="F2" s="1">
        <v>1E-4</v>
      </c>
      <c r="G2">
        <v>0.1</v>
      </c>
      <c r="H2" s="1">
        <f>E2/(F2*G2)</f>
        <v>90300000</v>
      </c>
      <c r="I2">
        <v>12</v>
      </c>
      <c r="J2" s="1">
        <v>0.01</v>
      </c>
      <c r="K2" s="1">
        <f t="shared" ref="K2:K19" si="0">I2/(J2*G2)</f>
        <v>12000</v>
      </c>
      <c r="L2" s="1">
        <f t="shared" ref="L2:L19" si="1">H2+K2</f>
        <v>90312000</v>
      </c>
      <c r="M2" s="1">
        <f>H2-K2</f>
        <v>90288000</v>
      </c>
      <c r="N2" s="1">
        <f>M2/8</f>
        <v>11286000</v>
      </c>
      <c r="O2" s="1">
        <f>K2/8</f>
        <v>1500</v>
      </c>
    </row>
    <row r="3" spans="1:15" x14ac:dyDescent="0.2">
      <c r="A3" t="s">
        <v>12</v>
      </c>
      <c r="B3">
        <v>0</v>
      </c>
      <c r="C3">
        <v>2</v>
      </c>
      <c r="D3">
        <v>0.67100000000000004</v>
      </c>
      <c r="E3">
        <v>1361</v>
      </c>
      <c r="F3" s="1">
        <v>1E-4</v>
      </c>
      <c r="G3">
        <v>0.1</v>
      </c>
      <c r="H3" s="1">
        <f t="shared" ref="H3:H19" si="2">E3/(F3*G3)</f>
        <v>136100000</v>
      </c>
      <c r="I3">
        <v>19</v>
      </c>
      <c r="J3" s="1">
        <v>0.01</v>
      </c>
      <c r="K3" s="1">
        <f t="shared" si="0"/>
        <v>19000</v>
      </c>
      <c r="L3" s="1">
        <f t="shared" si="1"/>
        <v>136119000</v>
      </c>
      <c r="M3" s="1">
        <f t="shared" ref="M3:M19" si="3">H3-K3</f>
        <v>136081000</v>
      </c>
      <c r="N3" s="1">
        <f t="shared" ref="N3:N19" si="4">M3/8</f>
        <v>17010125</v>
      </c>
      <c r="O3" s="1">
        <f t="shared" ref="O3:O19" si="5">K3/8</f>
        <v>2375</v>
      </c>
    </row>
    <row r="4" spans="1:15" x14ac:dyDescent="0.2">
      <c r="A4" t="s">
        <v>13</v>
      </c>
      <c r="B4">
        <v>0</v>
      </c>
      <c r="C4">
        <v>3</v>
      </c>
      <c r="D4">
        <v>0.81399999999999995</v>
      </c>
      <c r="E4">
        <v>1220</v>
      </c>
      <c r="F4" s="1">
        <v>1E-4</v>
      </c>
      <c r="G4">
        <v>0.1</v>
      </c>
      <c r="H4" s="1">
        <f t="shared" si="2"/>
        <v>121999999.99999999</v>
      </c>
      <c r="I4">
        <v>9</v>
      </c>
      <c r="J4" s="1">
        <v>0.01</v>
      </c>
      <c r="K4" s="1">
        <f t="shared" si="0"/>
        <v>9000</v>
      </c>
      <c r="L4" s="1">
        <f t="shared" si="1"/>
        <v>122008999.99999999</v>
      </c>
      <c r="M4" s="1">
        <f t="shared" si="3"/>
        <v>121990999.99999999</v>
      </c>
      <c r="N4" s="1">
        <f t="shared" si="4"/>
        <v>15248874.999999998</v>
      </c>
      <c r="O4" s="1">
        <f t="shared" si="5"/>
        <v>1125</v>
      </c>
    </row>
    <row r="5" spans="1:15" x14ac:dyDescent="0.2">
      <c r="A5" t="s">
        <v>14</v>
      </c>
      <c r="B5">
        <v>5</v>
      </c>
      <c r="C5">
        <v>1</v>
      </c>
      <c r="D5">
        <v>1.9630000000000001</v>
      </c>
      <c r="E5">
        <v>1</v>
      </c>
      <c r="F5" s="1">
        <v>9.9999999999999995E-7</v>
      </c>
      <c r="G5">
        <v>0.1</v>
      </c>
      <c r="H5" s="1">
        <f t="shared" si="2"/>
        <v>10000000</v>
      </c>
      <c r="I5">
        <v>0</v>
      </c>
      <c r="J5" s="1">
        <v>1E-4</v>
      </c>
      <c r="K5" s="1">
        <f t="shared" si="0"/>
        <v>0</v>
      </c>
      <c r="L5" s="1">
        <f t="shared" si="1"/>
        <v>10000000</v>
      </c>
      <c r="M5" s="1">
        <f t="shared" si="3"/>
        <v>10000000</v>
      </c>
      <c r="N5" s="1">
        <f t="shared" si="4"/>
        <v>1250000</v>
      </c>
      <c r="O5" s="1">
        <f t="shared" si="5"/>
        <v>0</v>
      </c>
    </row>
    <row r="6" spans="1:15" x14ac:dyDescent="0.2">
      <c r="A6" t="s">
        <v>15</v>
      </c>
      <c r="B6">
        <v>5</v>
      </c>
      <c r="C6">
        <v>2</v>
      </c>
      <c r="D6">
        <v>1.881</v>
      </c>
      <c r="E6">
        <v>7</v>
      </c>
      <c r="F6" s="1">
        <v>9.9999999999999995E-7</v>
      </c>
      <c r="G6">
        <v>0.1</v>
      </c>
      <c r="H6" s="1">
        <f t="shared" si="2"/>
        <v>70000000</v>
      </c>
      <c r="I6">
        <v>1</v>
      </c>
      <c r="J6" s="1">
        <v>1E-4</v>
      </c>
      <c r="K6" s="1">
        <f t="shared" si="0"/>
        <v>99999.999999999985</v>
      </c>
      <c r="L6" s="1">
        <f t="shared" si="1"/>
        <v>70100000</v>
      </c>
      <c r="M6" s="1">
        <f t="shared" si="3"/>
        <v>69900000</v>
      </c>
      <c r="N6" s="1">
        <f t="shared" si="4"/>
        <v>8737500</v>
      </c>
      <c r="O6" s="1">
        <f t="shared" si="5"/>
        <v>12499.999999999998</v>
      </c>
    </row>
    <row r="7" spans="1:15" x14ac:dyDescent="0.2">
      <c r="A7" t="s">
        <v>16</v>
      </c>
      <c r="B7">
        <v>5</v>
      </c>
      <c r="C7">
        <v>3</v>
      </c>
      <c r="D7">
        <v>1.7689999999999999</v>
      </c>
      <c r="E7">
        <v>80</v>
      </c>
      <c r="F7" s="1">
        <v>9.9999999999999995E-7</v>
      </c>
      <c r="G7">
        <v>0.1</v>
      </c>
      <c r="H7" s="1">
        <f t="shared" si="2"/>
        <v>800000000</v>
      </c>
      <c r="I7">
        <v>0</v>
      </c>
      <c r="J7" s="1">
        <v>1E-4</v>
      </c>
      <c r="K7" s="1">
        <f t="shared" si="0"/>
        <v>0</v>
      </c>
      <c r="L7" s="1">
        <f t="shared" si="1"/>
        <v>800000000</v>
      </c>
      <c r="M7" s="1">
        <f t="shared" si="3"/>
        <v>800000000</v>
      </c>
      <c r="N7" s="1">
        <f t="shared" si="4"/>
        <v>100000000</v>
      </c>
      <c r="O7" s="1">
        <f t="shared" si="5"/>
        <v>0</v>
      </c>
    </row>
    <row r="8" spans="1:15" x14ac:dyDescent="0.2">
      <c r="A8" t="s">
        <v>17</v>
      </c>
      <c r="B8">
        <v>10</v>
      </c>
      <c r="C8">
        <v>1</v>
      </c>
      <c r="D8">
        <v>1.4330000000000001</v>
      </c>
      <c r="E8">
        <v>53</v>
      </c>
      <c r="F8" s="1">
        <v>9.9999999999999995E-7</v>
      </c>
      <c r="G8">
        <v>0.1</v>
      </c>
      <c r="H8" s="1">
        <f t="shared" si="2"/>
        <v>530000000</v>
      </c>
      <c r="I8">
        <v>58</v>
      </c>
      <c r="J8" s="1">
        <v>1E-4</v>
      </c>
      <c r="K8" s="1">
        <f t="shared" si="0"/>
        <v>5799999.9999999991</v>
      </c>
      <c r="L8" s="1">
        <f t="shared" si="1"/>
        <v>535800000</v>
      </c>
      <c r="M8" s="1">
        <f t="shared" si="3"/>
        <v>524200000</v>
      </c>
      <c r="N8" s="1">
        <f t="shared" si="4"/>
        <v>65525000</v>
      </c>
      <c r="O8" s="1">
        <f t="shared" si="5"/>
        <v>724999.99999999988</v>
      </c>
    </row>
    <row r="9" spans="1:15" x14ac:dyDescent="0.2">
      <c r="A9" t="s">
        <v>18</v>
      </c>
      <c r="B9">
        <v>10</v>
      </c>
      <c r="C9">
        <v>2</v>
      </c>
      <c r="D9">
        <v>1.4870000000000001</v>
      </c>
      <c r="E9">
        <v>30</v>
      </c>
      <c r="F9" s="1">
        <v>9.9999999999999995E-7</v>
      </c>
      <c r="G9">
        <v>0.1</v>
      </c>
      <c r="H9" s="1">
        <f t="shared" si="2"/>
        <v>300000000</v>
      </c>
      <c r="I9">
        <v>67</v>
      </c>
      <c r="J9" s="1">
        <v>1E-4</v>
      </c>
      <c r="K9" s="1">
        <f t="shared" si="0"/>
        <v>6699999.9999999991</v>
      </c>
      <c r="L9" s="1">
        <f t="shared" si="1"/>
        <v>306700000</v>
      </c>
      <c r="M9" s="1">
        <f t="shared" si="3"/>
        <v>293300000</v>
      </c>
      <c r="N9" s="1">
        <f t="shared" si="4"/>
        <v>36662500</v>
      </c>
      <c r="O9" s="1">
        <f t="shared" si="5"/>
        <v>837499.99999999988</v>
      </c>
    </row>
    <row r="10" spans="1:15" x14ac:dyDescent="0.2">
      <c r="A10" t="s">
        <v>19</v>
      </c>
      <c r="B10">
        <v>10</v>
      </c>
      <c r="C10">
        <v>3</v>
      </c>
      <c r="D10">
        <v>1.597</v>
      </c>
      <c r="E10">
        <v>66</v>
      </c>
      <c r="F10" s="1">
        <v>9.9999999999999995E-7</v>
      </c>
      <c r="G10">
        <v>0.1</v>
      </c>
      <c r="H10" s="1">
        <f t="shared" si="2"/>
        <v>660000000</v>
      </c>
      <c r="I10">
        <v>83</v>
      </c>
      <c r="J10" s="1">
        <v>1E-4</v>
      </c>
      <c r="K10" s="1">
        <f t="shared" si="0"/>
        <v>8299999.9999999991</v>
      </c>
      <c r="L10" s="1">
        <f t="shared" si="1"/>
        <v>668300000</v>
      </c>
      <c r="M10" s="1">
        <f t="shared" si="3"/>
        <v>651700000</v>
      </c>
      <c r="N10" s="1">
        <f t="shared" si="4"/>
        <v>81462500</v>
      </c>
      <c r="O10" s="1">
        <f t="shared" si="5"/>
        <v>1037499.9999999999</v>
      </c>
    </row>
    <row r="11" spans="1:15" x14ac:dyDescent="0.2">
      <c r="A11" t="s">
        <v>20</v>
      </c>
      <c r="B11">
        <v>16</v>
      </c>
      <c r="C11">
        <v>1</v>
      </c>
      <c r="D11">
        <v>1.738</v>
      </c>
      <c r="E11">
        <v>13</v>
      </c>
      <c r="F11" s="1">
        <v>9.9999999999999995E-7</v>
      </c>
      <c r="G11">
        <v>0.1</v>
      </c>
      <c r="H11" s="1">
        <f t="shared" si="2"/>
        <v>130000000</v>
      </c>
      <c r="I11">
        <v>261</v>
      </c>
      <c r="J11" s="1">
        <v>1E-4</v>
      </c>
      <c r="K11" s="1">
        <f t="shared" si="0"/>
        <v>26099999.999999996</v>
      </c>
      <c r="L11" s="1">
        <f t="shared" si="1"/>
        <v>156100000</v>
      </c>
      <c r="M11" s="1">
        <f t="shared" si="3"/>
        <v>103900000</v>
      </c>
      <c r="N11" s="1">
        <f t="shared" si="4"/>
        <v>12987500</v>
      </c>
      <c r="O11" s="1">
        <f t="shared" si="5"/>
        <v>3262499.9999999995</v>
      </c>
    </row>
    <row r="12" spans="1:15" x14ac:dyDescent="0.2">
      <c r="A12" t="s">
        <v>21</v>
      </c>
      <c r="B12">
        <v>16</v>
      </c>
      <c r="C12">
        <v>2</v>
      </c>
      <c r="D12">
        <v>2.1659999999999999</v>
      </c>
      <c r="E12">
        <v>0</v>
      </c>
      <c r="F12" s="1">
        <v>9.9999999999999995E-7</v>
      </c>
      <c r="G12">
        <v>0.1</v>
      </c>
      <c r="H12" s="1">
        <f t="shared" si="2"/>
        <v>0</v>
      </c>
      <c r="I12">
        <v>504</v>
      </c>
      <c r="J12" s="1">
        <v>1E-4</v>
      </c>
      <c r="K12" s="1">
        <f t="shared" si="0"/>
        <v>50399999.999999993</v>
      </c>
      <c r="L12" s="1">
        <f t="shared" si="1"/>
        <v>50399999.999999993</v>
      </c>
      <c r="M12" s="1">
        <f t="shared" si="3"/>
        <v>-50399999.999999993</v>
      </c>
      <c r="N12" s="1"/>
      <c r="O12" s="1">
        <f t="shared" si="5"/>
        <v>6299999.9999999991</v>
      </c>
    </row>
    <row r="13" spans="1:15" x14ac:dyDescent="0.2">
      <c r="A13" t="s">
        <v>22</v>
      </c>
      <c r="B13">
        <v>16</v>
      </c>
      <c r="C13">
        <v>3</v>
      </c>
      <c r="D13">
        <v>2.0409999999999999</v>
      </c>
      <c r="E13">
        <v>14</v>
      </c>
      <c r="F13" s="1">
        <v>9.9999999999999995E-7</v>
      </c>
      <c r="G13">
        <v>0.1</v>
      </c>
      <c r="H13" s="1">
        <f t="shared" si="2"/>
        <v>140000000</v>
      </c>
      <c r="I13">
        <v>514</v>
      </c>
      <c r="J13" s="1">
        <v>1E-4</v>
      </c>
      <c r="K13" s="1">
        <f t="shared" si="0"/>
        <v>51399999.999999993</v>
      </c>
      <c r="L13" s="1">
        <f t="shared" si="1"/>
        <v>191400000</v>
      </c>
      <c r="M13" s="1">
        <f t="shared" si="3"/>
        <v>88600000</v>
      </c>
      <c r="N13" s="1">
        <f t="shared" si="4"/>
        <v>11075000</v>
      </c>
      <c r="O13" s="1">
        <f t="shared" si="5"/>
        <v>6424999.9999999991</v>
      </c>
    </row>
    <row r="14" spans="1:15" x14ac:dyDescent="0.2">
      <c r="A14" t="s">
        <v>23</v>
      </c>
      <c r="B14">
        <v>20</v>
      </c>
      <c r="C14">
        <v>1</v>
      </c>
      <c r="D14">
        <v>0.70799999999999996</v>
      </c>
      <c r="E14">
        <v>409</v>
      </c>
      <c r="F14" s="1">
        <v>1E-4</v>
      </c>
      <c r="G14">
        <v>0.1</v>
      </c>
      <c r="H14" s="1">
        <f t="shared" si="2"/>
        <v>40900000</v>
      </c>
      <c r="I14">
        <v>41</v>
      </c>
      <c r="J14" s="1">
        <v>1E-4</v>
      </c>
      <c r="K14" s="1">
        <f t="shared" si="0"/>
        <v>4099999.9999999995</v>
      </c>
      <c r="L14" s="1">
        <f t="shared" si="1"/>
        <v>45000000</v>
      </c>
      <c r="M14" s="1">
        <f t="shared" si="3"/>
        <v>36800000</v>
      </c>
      <c r="N14" s="1">
        <f t="shared" si="4"/>
        <v>4600000</v>
      </c>
      <c r="O14" s="1">
        <f t="shared" si="5"/>
        <v>512499.99999999994</v>
      </c>
    </row>
    <row r="15" spans="1:15" x14ac:dyDescent="0.2">
      <c r="A15" t="s">
        <v>24</v>
      </c>
      <c r="B15">
        <v>20</v>
      </c>
      <c r="C15">
        <v>2</v>
      </c>
      <c r="D15">
        <v>0.91800000000000004</v>
      </c>
      <c r="E15">
        <v>504</v>
      </c>
      <c r="F15" s="1">
        <v>1E-4</v>
      </c>
      <c r="G15">
        <v>0.1</v>
      </c>
      <c r="H15" s="1">
        <f t="shared" si="2"/>
        <v>50399999.999999993</v>
      </c>
      <c r="I15">
        <v>138</v>
      </c>
      <c r="J15" s="1">
        <v>1E-4</v>
      </c>
      <c r="K15" s="1">
        <f t="shared" si="0"/>
        <v>13799999.999999998</v>
      </c>
      <c r="L15" s="1">
        <f t="shared" si="1"/>
        <v>64199999.999999993</v>
      </c>
      <c r="M15" s="1">
        <f t="shared" si="3"/>
        <v>36599999.999999993</v>
      </c>
      <c r="N15" s="1">
        <f t="shared" si="4"/>
        <v>4574999.9999999991</v>
      </c>
      <c r="O15" s="1">
        <f t="shared" si="5"/>
        <v>1724999.9999999998</v>
      </c>
    </row>
    <row r="16" spans="1:15" x14ac:dyDescent="0.2">
      <c r="A16" t="s">
        <v>25</v>
      </c>
      <c r="B16">
        <v>20</v>
      </c>
      <c r="C16">
        <v>3</v>
      </c>
      <c r="D16">
        <v>0.92500000000000004</v>
      </c>
      <c r="E16">
        <v>1366</v>
      </c>
      <c r="F16" s="1">
        <v>1E-4</v>
      </c>
      <c r="G16">
        <v>0.1</v>
      </c>
      <c r="H16" s="1">
        <f t="shared" si="2"/>
        <v>136600000</v>
      </c>
      <c r="I16">
        <v>336</v>
      </c>
      <c r="J16" s="1">
        <v>1E-4</v>
      </c>
      <c r="K16" s="1">
        <f t="shared" si="0"/>
        <v>33600000</v>
      </c>
      <c r="L16" s="1">
        <f t="shared" si="1"/>
        <v>170200000</v>
      </c>
      <c r="M16" s="1">
        <f t="shared" si="3"/>
        <v>103000000</v>
      </c>
      <c r="N16" s="1">
        <f t="shared" si="4"/>
        <v>12875000</v>
      </c>
      <c r="O16" s="1">
        <f t="shared" si="5"/>
        <v>4200000</v>
      </c>
    </row>
    <row r="17" spans="1:15" x14ac:dyDescent="0.2">
      <c r="A17" t="s">
        <v>26</v>
      </c>
      <c r="B17">
        <v>25</v>
      </c>
      <c r="C17">
        <v>1</v>
      </c>
      <c r="D17">
        <v>1.2769999999999999</v>
      </c>
      <c r="E17">
        <v>1147</v>
      </c>
      <c r="F17" s="1">
        <v>1E-4</v>
      </c>
      <c r="G17">
        <v>0.1</v>
      </c>
      <c r="H17" s="1">
        <f t="shared" si="2"/>
        <v>114699999.99999999</v>
      </c>
      <c r="I17">
        <v>683</v>
      </c>
      <c r="J17" s="1">
        <v>1.0000000000000001E-5</v>
      </c>
      <c r="K17" s="1">
        <f t="shared" si="0"/>
        <v>682999999.99999988</v>
      </c>
      <c r="L17" s="1">
        <f t="shared" si="1"/>
        <v>797699999.99999988</v>
      </c>
      <c r="M17" s="1">
        <f t="shared" si="3"/>
        <v>-568299999.99999988</v>
      </c>
      <c r="N17" s="1">
        <v>0</v>
      </c>
      <c r="O17" s="1">
        <f t="shared" si="5"/>
        <v>85374999.999999985</v>
      </c>
    </row>
    <row r="18" spans="1:15" x14ac:dyDescent="0.2">
      <c r="A18" t="s">
        <v>27</v>
      </c>
      <c r="B18">
        <v>25</v>
      </c>
      <c r="C18">
        <v>2</v>
      </c>
      <c r="D18">
        <v>1.3080000000000001</v>
      </c>
      <c r="E18">
        <v>503</v>
      </c>
      <c r="F18" s="1">
        <v>1E-4</v>
      </c>
      <c r="G18">
        <v>0.1</v>
      </c>
      <c r="H18" s="1">
        <f t="shared" si="2"/>
        <v>50299999.999999993</v>
      </c>
      <c r="I18">
        <v>595</v>
      </c>
      <c r="J18" s="1">
        <v>1.0000000000000001E-5</v>
      </c>
      <c r="K18" s="1">
        <f t="shared" si="0"/>
        <v>594999999.99999988</v>
      </c>
      <c r="L18" s="1">
        <f t="shared" si="1"/>
        <v>645299999.99999988</v>
      </c>
      <c r="M18" s="1">
        <f t="shared" si="3"/>
        <v>-544699999.99999988</v>
      </c>
      <c r="N18" s="1">
        <v>0</v>
      </c>
      <c r="O18" s="1">
        <f t="shared" si="5"/>
        <v>74374999.999999985</v>
      </c>
    </row>
    <row r="19" spans="1:15" x14ac:dyDescent="0.2">
      <c r="A19" t="s">
        <v>28</v>
      </c>
      <c r="B19">
        <v>25</v>
      </c>
      <c r="C19">
        <v>3</v>
      </c>
      <c r="D19">
        <v>1.327</v>
      </c>
      <c r="E19">
        <v>1178</v>
      </c>
      <c r="F19" s="1">
        <v>1E-4</v>
      </c>
      <c r="G19">
        <v>0.1</v>
      </c>
      <c r="H19" s="1">
        <f t="shared" si="2"/>
        <v>117799999.99999999</v>
      </c>
      <c r="I19">
        <v>837</v>
      </c>
      <c r="J19" s="1">
        <v>1.0000000000000001E-5</v>
      </c>
      <c r="K19" s="1">
        <f t="shared" si="0"/>
        <v>836999999.99999988</v>
      </c>
      <c r="L19" s="1">
        <f t="shared" si="1"/>
        <v>954799999.99999988</v>
      </c>
      <c r="M19" s="1">
        <f t="shared" si="3"/>
        <v>-719199999.99999988</v>
      </c>
      <c r="N19" s="1">
        <v>0</v>
      </c>
      <c r="O19" s="1">
        <f t="shared" si="5"/>
        <v>104624999.99999999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2026-06-26T19:22:43Z</dcterms:created>
  <dcterms:modified xsi:type="dcterms:W3CDTF">2026-09-02T19:02:11Z</dcterms:modified>
</cp:coreProperties>
</file>