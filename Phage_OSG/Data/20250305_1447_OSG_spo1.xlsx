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obrien/Desktop/"/>
    </mc:Choice>
  </mc:AlternateContent>
  <xr:revisionPtr revIDLastSave="0" documentId="13_ncr:1_{A386177E-5A5A-E349-9BD4-481CAA3B7933}" xr6:coauthVersionLast="47" xr6:coauthVersionMax="47" xr10:uidLastSave="{00000000-0000-0000-0000-000000000000}"/>
  <bookViews>
    <workbookView xWindow="80" yWindow="760" windowWidth="28040" windowHeight="17440" activeTab="2" xr2:uid="{76B7D424-49B4-E445-8DAE-301E2573E16E}"/>
  </bookViews>
  <sheets>
    <sheet name="raw_data" sheetId="1" r:id="rId1"/>
    <sheet name="analysis" sheetId="2" r:id="rId2"/>
    <sheet name="SPO1_OS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H7" i="1"/>
  <c r="I2" i="1" s="1"/>
  <c r="H8" i="1"/>
  <c r="H9" i="1"/>
  <c r="H10" i="1"/>
  <c r="H11" i="1"/>
  <c r="H6" i="1"/>
  <c r="F6" i="1"/>
  <c r="F7" i="1"/>
  <c r="F8" i="1"/>
  <c r="F5" i="1"/>
  <c r="C3" i="1"/>
  <c r="C4" i="1"/>
  <c r="C5" i="1"/>
  <c r="C6" i="1"/>
  <c r="C7" i="1"/>
  <c r="D2" i="1" l="1"/>
  <c r="L2" i="1" s="1"/>
  <c r="M2" i="1" s="1"/>
</calcChain>
</file>

<file path=xl/sharedStrings.xml><?xml version="1.0" encoding="utf-8"?>
<sst xmlns="http://schemas.openxmlformats.org/spreadsheetml/2006/main" count="28" uniqueCount="27">
  <si>
    <t>Time</t>
  </si>
  <si>
    <t>PFU.flaskA</t>
  </si>
  <si>
    <t>PFU_mL.flaskA</t>
  </si>
  <si>
    <t>PFU.flaskB</t>
  </si>
  <si>
    <t>PFU_mL.flaskB</t>
  </si>
  <si>
    <t>PFU_mL.flaskC</t>
  </si>
  <si>
    <t>TMTC</t>
  </si>
  <si>
    <t xml:space="preserve">OSG Analysis </t>
  </si>
  <si>
    <t>1. Normalize data to the concentration of phage in flask A  by multiplying the number of plaques obtained from sampling the adsorption control and Flask A by 10</t>
  </si>
  <si>
    <t>2. Multiply by 100 for FLASK B and 1000 for FLASK C</t>
  </si>
  <si>
    <t>3. Plot data PFU/mL</t>
  </si>
  <si>
    <t>4. Determine AVG number of infected cells by subtracting the number of phage in the adsorption control from the Average 1</t>
  </si>
  <si>
    <t>5. Divide the AVG 1 value into the AVG 2 value to obtain average burst size</t>
  </si>
  <si>
    <t>6. Determine the intersect between the AVG 1 line and the slop will give latent period of phage</t>
  </si>
  <si>
    <t>PFU.Adsorption_flask</t>
  </si>
  <si>
    <t>PFU_mL.Adsorption_flask</t>
  </si>
  <si>
    <t>AVG_flask.A</t>
  </si>
  <si>
    <t>AVG_flask.C</t>
  </si>
  <si>
    <t>AVG_infect</t>
  </si>
  <si>
    <t>Burst.size</t>
  </si>
  <si>
    <t>Time.min</t>
  </si>
  <si>
    <t>SPO1.titer_PFU_mL</t>
  </si>
  <si>
    <t>MOI</t>
  </si>
  <si>
    <t>Rep</t>
  </si>
  <si>
    <t>Flask A = 0.01 MOI</t>
  </si>
  <si>
    <t xml:space="preserve">Flask B = 0.1 </t>
  </si>
  <si>
    <t>Flask C = 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</si>
</sst>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3A8B-45D9-8A49-AE28-87B65A5D4991}">
  <dimension ref="A1:M11"/>
  <sheetViews>
    <sheetView workbookViewId="0">
      <selection activeCell="A7" sqref="A7"/>
    </sheetView>
  </sheetViews>
  <sheetFormatPr baseColWidth="10" defaultRowHeight="16" x14ac:dyDescent="0.2"/>
  <cols>
    <col min="3" max="3" width="24.1640625" customWidth="1"/>
    <col min="5" max="5" width="17.83203125" customWidth="1"/>
    <col min="6" max="6" width="17.5" customWidth="1"/>
    <col min="7" max="7" width="13.5" customWidth="1"/>
    <col min="8" max="9" width="18" customWidth="1"/>
    <col min="10" max="10" width="24.33203125" customWidth="1"/>
    <col min="11" max="11" width="21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16</v>
      </c>
      <c r="E1" t="s">
        <v>3</v>
      </c>
      <c r="F1" t="s">
        <v>4</v>
      </c>
      <c r="G1" t="s">
        <v>5</v>
      </c>
      <c r="H1" t="s">
        <v>5</v>
      </c>
      <c r="I1" t="s">
        <v>17</v>
      </c>
      <c r="J1" t="s">
        <v>14</v>
      </c>
      <c r="K1" t="s">
        <v>15</v>
      </c>
      <c r="L1" t="s">
        <v>18</v>
      </c>
      <c r="M1" t="s">
        <v>19</v>
      </c>
    </row>
    <row r="2" spans="1:13" x14ac:dyDescent="0.2">
      <c r="A2">
        <v>5</v>
      </c>
      <c r="B2">
        <v>744</v>
      </c>
      <c r="C2">
        <f>B2*10</f>
        <v>7440</v>
      </c>
      <c r="D2">
        <f>AVERAGE(C2:C7)</f>
        <v>7075</v>
      </c>
      <c r="I2">
        <f>AVERAGE(H6:H11)</f>
        <v>110666.66666666667</v>
      </c>
      <c r="J2">
        <v>3</v>
      </c>
      <c r="K2">
        <v>30</v>
      </c>
      <c r="L2">
        <f>D2-K2</f>
        <v>7045</v>
      </c>
      <c r="M2">
        <f>I2/L2</f>
        <v>15.708540335935652</v>
      </c>
    </row>
    <row r="3" spans="1:13" x14ac:dyDescent="0.2">
      <c r="A3">
        <v>10</v>
      </c>
      <c r="B3">
        <v>699</v>
      </c>
      <c r="C3">
        <f t="shared" ref="C2:C7" si="0">B3*10</f>
        <v>6990</v>
      </c>
    </row>
    <row r="4" spans="1:13" x14ac:dyDescent="0.2">
      <c r="A4">
        <v>20</v>
      </c>
      <c r="B4">
        <v>709</v>
      </c>
      <c r="C4">
        <f t="shared" si="0"/>
        <v>7090</v>
      </c>
    </row>
    <row r="5" spans="1:13" x14ac:dyDescent="0.2">
      <c r="A5">
        <v>30</v>
      </c>
      <c r="B5">
        <v>648</v>
      </c>
      <c r="C5">
        <f t="shared" si="0"/>
        <v>6480</v>
      </c>
      <c r="E5">
        <v>105</v>
      </c>
      <c r="F5">
        <f>E5*100</f>
        <v>10500</v>
      </c>
    </row>
    <row r="6" spans="1:13" x14ac:dyDescent="0.2">
      <c r="A6">
        <v>35</v>
      </c>
      <c r="B6">
        <v>705</v>
      </c>
      <c r="C6">
        <f t="shared" si="0"/>
        <v>7050</v>
      </c>
      <c r="E6">
        <v>116</v>
      </c>
      <c r="F6">
        <f t="shared" ref="F6:F8" si="1">E6*100</f>
        <v>11600</v>
      </c>
      <c r="G6">
        <v>7</v>
      </c>
      <c r="H6">
        <f>G6*1000</f>
        <v>7000</v>
      </c>
    </row>
    <row r="7" spans="1:13" x14ac:dyDescent="0.2">
      <c r="A7">
        <v>40</v>
      </c>
      <c r="B7">
        <v>740</v>
      </c>
      <c r="C7">
        <f t="shared" si="0"/>
        <v>7400</v>
      </c>
      <c r="E7">
        <v>110</v>
      </c>
      <c r="F7">
        <f t="shared" si="1"/>
        <v>11000</v>
      </c>
      <c r="G7">
        <v>16</v>
      </c>
      <c r="H7">
        <f t="shared" ref="H7:H11" si="2">G7*1000</f>
        <v>16000</v>
      </c>
    </row>
    <row r="8" spans="1:13" x14ac:dyDescent="0.2">
      <c r="A8">
        <v>45</v>
      </c>
      <c r="E8">
        <v>515</v>
      </c>
      <c r="F8">
        <f t="shared" si="1"/>
        <v>51500</v>
      </c>
      <c r="G8">
        <v>45</v>
      </c>
      <c r="H8">
        <f t="shared" si="2"/>
        <v>45000</v>
      </c>
    </row>
    <row r="9" spans="1:13" x14ac:dyDescent="0.2">
      <c r="A9">
        <v>50</v>
      </c>
      <c r="E9" t="s">
        <v>6</v>
      </c>
      <c r="G9">
        <v>148</v>
      </c>
      <c r="H9">
        <f t="shared" si="2"/>
        <v>148000</v>
      </c>
    </row>
    <row r="10" spans="1:13" x14ac:dyDescent="0.2">
      <c r="A10">
        <v>55</v>
      </c>
      <c r="G10">
        <v>213</v>
      </c>
      <c r="H10">
        <f t="shared" si="2"/>
        <v>213000</v>
      </c>
    </row>
    <row r="11" spans="1:13" x14ac:dyDescent="0.2">
      <c r="A11">
        <v>60</v>
      </c>
      <c r="G11">
        <v>235</v>
      </c>
      <c r="H11">
        <f t="shared" si="2"/>
        <v>235000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ED652-7929-D748-B453-77F76317936A}">
  <dimension ref="A1:A12"/>
  <sheetViews>
    <sheetView workbookViewId="0">
      <selection activeCell="A13" sqref="A13"/>
    </sheetView>
  </sheetViews>
  <sheetFormatPr baseColWidth="10" defaultRowHeight="16" x14ac:dyDescent="0.2"/>
  <sheetData>
    <row r="1" spans="1:1" x14ac:dyDescent="0.2">
      <c r="A1" t="s">
        <v>7</v>
      </c>
    </row>
    <row r="3" spans="1:1" x14ac:dyDescent="0.2">
      <c r="A3" t="s">
        <v>8</v>
      </c>
    </row>
    <row r="4" spans="1:1" x14ac:dyDescent="0.2">
      <c r="A4" t="s">
        <v>9</v>
      </c>
    </row>
    <row r="5" spans="1:1" x14ac:dyDescent="0.2">
      <c r="A5" t="s">
        <v>10</v>
      </c>
    </row>
    <row r="6" spans="1:1" x14ac:dyDescent="0.2">
      <c r="A6" t="s">
        <v>11</v>
      </c>
    </row>
    <row r="7" spans="1:1" x14ac:dyDescent="0.2">
      <c r="A7" t="s">
        <v>12</v>
      </c>
    </row>
    <row r="8" spans="1:1" x14ac:dyDescent="0.2">
      <c r="A8" t="s">
        <v>13</v>
      </c>
    </row>
    <row r="10" spans="1:1" x14ac:dyDescent="0.2">
      <c r="A10" t="s">
        <v>24</v>
      </c>
    </row>
    <row r="11" spans="1:1" x14ac:dyDescent="0.2">
      <c r="A11" t="s">
        <v>25</v>
      </c>
    </row>
    <row r="12" spans="1:1" x14ac:dyDescent="0.2">
      <c r="A1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937E-423F-DB40-88E2-A54C93B19BCF}">
  <dimension ref="A1:D17"/>
  <sheetViews>
    <sheetView tabSelected="1" workbookViewId="0">
      <selection activeCell="D18" sqref="D18"/>
    </sheetView>
  </sheetViews>
  <sheetFormatPr baseColWidth="10" defaultRowHeight="16" x14ac:dyDescent="0.2"/>
  <cols>
    <col min="2" max="2" width="21.6640625" customWidth="1"/>
  </cols>
  <sheetData>
    <row r="1" spans="1:4" x14ac:dyDescent="0.2">
      <c r="A1" t="s">
        <v>20</v>
      </c>
      <c r="B1" t="s">
        <v>21</v>
      </c>
      <c r="C1" t="s">
        <v>22</v>
      </c>
      <c r="D1" t="s">
        <v>23</v>
      </c>
    </row>
    <row r="2" spans="1:4" x14ac:dyDescent="0.2">
      <c r="A2">
        <v>5</v>
      </c>
      <c r="B2">
        <v>7440</v>
      </c>
      <c r="C2">
        <v>0.01</v>
      </c>
      <c r="D2">
        <v>1</v>
      </c>
    </row>
    <row r="3" spans="1:4" x14ac:dyDescent="0.2">
      <c r="A3">
        <v>10</v>
      </c>
      <c r="B3">
        <v>6990</v>
      </c>
      <c r="C3">
        <v>0.01</v>
      </c>
      <c r="D3">
        <v>1</v>
      </c>
    </row>
    <row r="4" spans="1:4" x14ac:dyDescent="0.2">
      <c r="A4">
        <v>20</v>
      </c>
      <c r="B4">
        <v>7090</v>
      </c>
      <c r="C4">
        <v>0.01</v>
      </c>
      <c r="D4">
        <v>1</v>
      </c>
    </row>
    <row r="5" spans="1:4" x14ac:dyDescent="0.2">
      <c r="A5">
        <v>30</v>
      </c>
      <c r="B5">
        <v>6480</v>
      </c>
      <c r="C5">
        <v>0.01</v>
      </c>
      <c r="D5">
        <v>1</v>
      </c>
    </row>
    <row r="6" spans="1:4" x14ac:dyDescent="0.2">
      <c r="A6">
        <v>35</v>
      </c>
      <c r="B6">
        <v>7050</v>
      </c>
      <c r="C6">
        <v>0.01</v>
      </c>
      <c r="D6">
        <v>1</v>
      </c>
    </row>
    <row r="7" spans="1:4" x14ac:dyDescent="0.2">
      <c r="A7">
        <v>40</v>
      </c>
      <c r="B7">
        <v>7400</v>
      </c>
      <c r="C7">
        <v>0.01</v>
      </c>
      <c r="D7">
        <v>1</v>
      </c>
    </row>
    <row r="8" spans="1:4" x14ac:dyDescent="0.2">
      <c r="A8">
        <v>30</v>
      </c>
      <c r="B8">
        <v>10500</v>
      </c>
      <c r="C8">
        <v>0.1</v>
      </c>
      <c r="D8">
        <v>2</v>
      </c>
    </row>
    <row r="9" spans="1:4" x14ac:dyDescent="0.2">
      <c r="A9">
        <v>35</v>
      </c>
      <c r="B9">
        <v>11600</v>
      </c>
      <c r="C9">
        <v>0.1</v>
      </c>
      <c r="D9">
        <v>2</v>
      </c>
    </row>
    <row r="10" spans="1:4" x14ac:dyDescent="0.2">
      <c r="A10">
        <v>40</v>
      </c>
      <c r="B10">
        <v>11000</v>
      </c>
      <c r="C10">
        <v>0.1</v>
      </c>
      <c r="D10">
        <v>2</v>
      </c>
    </row>
    <row r="11" spans="1:4" x14ac:dyDescent="0.2">
      <c r="A11">
        <v>45</v>
      </c>
      <c r="B11">
        <v>51500</v>
      </c>
      <c r="C11">
        <v>0.1</v>
      </c>
      <c r="D11">
        <v>1</v>
      </c>
    </row>
    <row r="12" spans="1:4" x14ac:dyDescent="0.2">
      <c r="A12">
        <v>35</v>
      </c>
      <c r="B12">
        <v>7000</v>
      </c>
      <c r="C12">
        <v>0.1</v>
      </c>
      <c r="D12">
        <v>3</v>
      </c>
    </row>
    <row r="13" spans="1:4" x14ac:dyDescent="0.2">
      <c r="A13">
        <v>40</v>
      </c>
      <c r="B13">
        <v>16000</v>
      </c>
      <c r="C13">
        <v>0.1</v>
      </c>
      <c r="D13">
        <v>3</v>
      </c>
    </row>
    <row r="14" spans="1:4" x14ac:dyDescent="0.2">
      <c r="A14">
        <v>45</v>
      </c>
      <c r="B14">
        <v>45000</v>
      </c>
      <c r="C14">
        <v>0.1</v>
      </c>
      <c r="D14">
        <v>2</v>
      </c>
    </row>
    <row r="15" spans="1:4" x14ac:dyDescent="0.2">
      <c r="A15">
        <v>50</v>
      </c>
      <c r="B15">
        <v>148000</v>
      </c>
      <c r="C15">
        <v>0.1</v>
      </c>
      <c r="D15">
        <v>1</v>
      </c>
    </row>
    <row r="16" spans="1:4" x14ac:dyDescent="0.2">
      <c r="A16">
        <v>55</v>
      </c>
      <c r="B16">
        <v>213000</v>
      </c>
      <c r="C16">
        <v>0.1</v>
      </c>
      <c r="D16">
        <v>1</v>
      </c>
    </row>
    <row r="17" spans="1:4" x14ac:dyDescent="0.2">
      <c r="A17">
        <v>60</v>
      </c>
      <c r="B17">
        <v>235000</v>
      </c>
      <c r="C17">
        <v>0.1</v>
      </c>
      <c r="D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analysis</vt:lpstr>
      <vt:lpstr>SPO1_OSG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2025-03-05T19:47:05Z</dcterms:created>
  <dcterms:modified xsi:type="dcterms:W3CDTF">2025-03-07T04:54:38Z</dcterms:modified>
</cp:coreProperties>
</file>